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м отличаемся" sheetId="1" state="visible" r:id="rId1"/>
    <sheet xmlns:r="http://schemas.openxmlformats.org/officeDocument/2006/relationships" name="Target уровни" sheetId="2" state="visible" r:id="rId2"/>
    <sheet xmlns:r="http://schemas.openxmlformats.org/officeDocument/2006/relationships" name="Фичи lift" sheetId="3" state="visible" r:id="rId3"/>
    <sheet xmlns:r="http://schemas.openxmlformats.org/officeDocument/2006/relationships" name="Текст отличия" sheetId="4" state="visible" r:id="rId4"/>
    <sheet xmlns:r="http://schemas.openxmlformats.org/officeDocument/2006/relationships" name="Sample data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72" customWidth="1" min="3" max="3"/>
  </cols>
  <sheetData>
    <row r="1">
      <c r="A1" s="1" t="inlineStr">
        <is>
          <t>Тема</t>
        </is>
      </c>
      <c r="B1" s="1" t="inlineStr">
        <is>
          <t>Как у большинства</t>
        </is>
      </c>
      <c r="C1" s="1" t="inlineStr">
        <is>
          <t>Как у нас (отличиться)</t>
        </is>
      </c>
    </row>
    <row r="2">
      <c r="A2" s="2" t="inlineStr">
        <is>
          <t>Target</t>
        </is>
      </c>
      <c r="B2" s="2" t="inlineStr">
        <is>
          <t>Один: DPD30 / 6м</t>
        </is>
      </c>
      <c r="C2" s="3" t="inlineStr">
        <is>
          <t>Primary DPD30/6м + Severe (unpaid30 или DPD90) для потерь</t>
        </is>
      </c>
    </row>
    <row r="3">
      <c r="A3" s="2" t="inlineStr">
        <is>
          <t>Отказы/незрелые</t>
        </is>
      </c>
      <c r="B3" s="2" t="inlineStr">
        <is>
          <t>Выкинуть</t>
        </is>
      </c>
      <c r="C3" s="3" t="inlineStr">
        <is>
          <t>То же + явно посчитать 6723 / 2456</t>
        </is>
      </c>
    </row>
    <row r="4">
      <c r="A4" s="2" t="inlineStr">
        <is>
          <t>Фичи</t>
        </is>
      </c>
      <c r="B4" s="2" t="inlineStr">
        <is>
          <t>Анкета + bureau_score</t>
        </is>
      </c>
      <c r="C4" s="3" t="inlineStr">
        <is>
          <t>+ past_hard_bureau, thin_file, no_bureau, loans_open, cashflow-прокси</t>
        </is>
      </c>
    </row>
    <row r="5">
      <c r="A5" s="2" t="inlineStr">
        <is>
          <t>Новые таблицы</t>
        </is>
      </c>
      <c r="B5" s="2" t="inlineStr">
        <is>
          <t>Могут не заметить</t>
        </is>
      </c>
      <c r="C5" s="3" t="inlineStr">
        <is>
          <t>scoring_bureau_loans + inquiries (as-of до decision)</t>
        </is>
      </c>
    </row>
    <row r="6">
      <c r="A6" s="2" t="inlineStr">
        <is>
          <t>Баланс</t>
        </is>
      </c>
      <c r="B6" s="2" t="inlineStr">
        <is>
          <t>Нет поля / забыли</t>
        </is>
      </c>
      <c r="C6" s="3" t="inlineStr">
        <is>
          <t>Честно: cashflow = salary - cashout - purchase</t>
        </is>
      </c>
    </row>
    <row r="7">
      <c r="A7" s="2" t="inlineStr">
        <is>
          <t>Динамика расходов</t>
        </is>
      </c>
      <c r="B7" s="2" t="inlineStr">
        <is>
          <t>Не сделали или leakage</t>
        </is>
      </c>
      <c r="C7" s="3" t="inlineStr">
        <is>
          <t>spend_accel проверили — слабее бюро, не врём</t>
        </is>
      </c>
    </row>
    <row r="8">
      <c r="A8" s="2" t="inlineStr">
        <is>
          <t>Коллекторы</t>
        </is>
      </c>
      <c r="B8" s="2" t="inlineStr">
        <is>
          <t>Тащат в фичи (ошибка)</t>
        </is>
      </c>
      <c r="C8" s="3" t="inlineStr">
        <is>
          <t>НЕ по нашему договору; история DPD только из бюро</t>
        </is>
      </c>
    </row>
    <row r="9">
      <c r="A9" s="2" t="inlineStr">
        <is>
          <t>Интерпретация</t>
        </is>
      </c>
      <c r="B9" s="2" t="inlineStr">
        <is>
          <t>Список колонок</t>
        </is>
      </c>
      <c r="C9" s="3" t="inlineStr">
        <is>
          <t>risk_stack: 0 флагов 17% bad → 3 флага 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22" customWidth="1" min="4" max="4"/>
  </cols>
  <sheetData>
    <row r="1">
      <c r="A1" s="4" t="inlineStr">
        <is>
          <t>Уровень</t>
        </is>
      </c>
      <c r="B1" s="4" t="inlineStr">
        <is>
          <t>Правило</t>
        </is>
      </c>
      <c r="C1" s="4" t="inlineStr">
        <is>
          <t>Доля %</t>
        </is>
      </c>
      <c r="D1" s="4" t="inlineStr">
        <is>
          <t>Зачем</t>
        </is>
      </c>
    </row>
    <row r="2">
      <c r="A2" t="inlineStr">
        <is>
          <t>primary</t>
        </is>
      </c>
      <c r="B2" t="inlineStr">
        <is>
          <t>DPD&gt;=30 за 6м</t>
        </is>
      </c>
      <c r="C2" t="n">
        <v>23.95</v>
      </c>
      <c r="D2" t="inlineStr">
        <is>
          <t>Модель / вторник</t>
        </is>
      </c>
    </row>
    <row r="3">
      <c r="A3" t="inlineStr">
        <is>
          <t>severe</t>
        </is>
      </c>
      <c r="B3" t="inlineStr">
        <is>
          <t>unpaid&gt;=30 или DPD&gt;=90</t>
        </is>
      </c>
      <c r="C3" t="n">
        <v>14.19</v>
      </c>
      <c r="D3" t="inlineStr">
        <is>
          <t>Потери / среда</t>
        </is>
      </c>
    </row>
    <row r="4">
      <c r="A4" t="inlineStr">
        <is>
          <t>early</t>
        </is>
      </c>
      <c r="B4" t="inlineStr">
        <is>
          <t>DPD&gt;=30 за 3м</t>
        </is>
      </c>
      <c r="C4" t="n">
        <v>16.77</v>
      </c>
      <c r="D4" t="inlineStr">
        <is>
          <t>Ранний сигнал</t>
        </is>
      </c>
    </row>
    <row r="5">
      <c r="A5" t="inlineStr">
        <is>
          <t>hard DPD90</t>
        </is>
      </c>
      <c r="B5" t="inlineStr">
        <is>
          <t>DPD&gt;=90 за 6м</t>
        </is>
      </c>
      <c r="C5" t="n">
        <v>13.91</v>
      </c>
      <c r="D5" t="inlineStr">
        <is>
          <t>Жёсткий дефолт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0" customWidth="1" min="4" max="4"/>
    <col width="10" customWidth="1" min="5" max="5"/>
    <col width="28" customWidth="1" min="6" max="6"/>
  </cols>
  <sheetData>
    <row r="1">
      <c r="A1" s="4" t="inlineStr">
        <is>
          <t>Фича</t>
        </is>
      </c>
      <c r="B1" s="4" t="inlineStr">
        <is>
          <t>Группа</t>
        </is>
      </c>
      <c r="C1" s="4" t="inlineStr">
        <is>
          <t>N</t>
        </is>
      </c>
      <c r="D1" s="4" t="inlineStr">
        <is>
          <t>Bad %</t>
        </is>
      </c>
      <c r="E1" s="4" t="inlineStr">
        <is>
          <t>Lift</t>
        </is>
      </c>
      <c r="F1" s="4" t="inlineStr">
        <is>
          <t>Можно на decision?</t>
        </is>
      </c>
    </row>
    <row r="2">
      <c r="A2" t="inlineStr">
        <is>
          <t>past_hard_bureau</t>
        </is>
      </c>
      <c r="B2">
        <f>1</f>
        <v/>
      </c>
      <c r="C2" t="n">
        <v>478</v>
      </c>
      <c r="D2" t="n">
        <v>42.1</v>
      </c>
      <c r="E2" t="n">
        <v>1.76</v>
      </c>
      <c r="F2" t="inlineStr">
        <is>
          <t>да, бюро до decision</t>
        </is>
      </c>
    </row>
    <row r="3">
      <c r="A3" t="inlineStr">
        <is>
          <t>no_bureau</t>
        </is>
      </c>
      <c r="B3">
        <f>1</f>
        <v/>
      </c>
      <c r="C3" t="n">
        <v>1941</v>
      </c>
      <c r="D3" t="n">
        <v>35.4</v>
      </c>
      <c r="E3" t="n">
        <v>1.48</v>
      </c>
      <c r="F3" t="inlineStr">
        <is>
          <t>да</t>
        </is>
      </c>
    </row>
    <row r="4">
      <c r="A4" t="inlineStr">
        <is>
          <t>thin_file</t>
        </is>
      </c>
      <c r="B4">
        <f>1</f>
        <v/>
      </c>
      <c r="C4" t="n">
        <v>2995</v>
      </c>
      <c r="D4" t="n">
        <v>32.6</v>
      </c>
      <c r="E4" t="n">
        <v>1.36</v>
      </c>
      <c r="F4" t="inlineStr">
        <is>
          <t>да</t>
        </is>
      </c>
    </row>
    <row r="5">
      <c r="A5" t="inlineStr">
        <is>
          <t>loans_open_asof</t>
        </is>
      </c>
      <c r="B5" t="inlineStr">
        <is>
          <t>&gt;=3</t>
        </is>
      </c>
      <c r="C5" t="n">
        <v>396</v>
      </c>
      <c r="D5" t="n">
        <v>33.3</v>
      </c>
      <c r="E5" t="n">
        <v>1.39</v>
      </c>
      <c r="F5" t="inlineStr">
        <is>
          <t>да, open_date&lt;=decision</t>
        </is>
      </c>
    </row>
    <row r="6">
      <c r="A6" t="inlineStr">
        <is>
          <t>past_bad_bureau</t>
        </is>
      </c>
      <c r="B6">
        <f>1</f>
        <v/>
      </c>
      <c r="C6" t="n">
        <v>1846</v>
      </c>
      <c r="D6" t="n">
        <v>29.4</v>
      </c>
      <c r="E6" t="n">
        <v>1.23</v>
      </c>
      <c r="F6" t="inlineStr">
        <is>
          <t>да</t>
        </is>
      </c>
    </row>
    <row r="7">
      <c r="A7" t="inlineStr">
        <is>
          <t>cashflow_180</t>
        </is>
      </c>
      <c r="B7" t="inlineStr">
        <is>
          <t>отрицательный</t>
        </is>
      </c>
      <c r="C7" t="n">
        <v>6036</v>
      </c>
      <c r="D7" t="n">
        <v>25.7</v>
      </c>
      <c r="E7" t="n">
        <v>1.07</v>
      </c>
      <c r="F7" t="inlineStr">
        <is>
          <t>да, карта до decision</t>
        </is>
      </c>
    </row>
    <row r="8">
      <c r="A8" t="inlineStr">
        <is>
          <t>spend_accel</t>
        </is>
      </c>
      <c r="B8" t="inlineStr">
        <is>
          <t>квантили</t>
        </is>
      </c>
      <c r="C8" t="n">
        <v>4331</v>
      </c>
      <c r="D8" t="inlineStr">
        <is>
          <t>~19-21</t>
        </is>
      </c>
      <c r="E8" t="n">
        <v>1</v>
      </c>
      <c r="F8" t="inlineStr">
        <is>
          <t>да, но слабый</t>
        </is>
      </c>
    </row>
    <row r="9">
      <c r="A9" t="inlineStr">
        <is>
          <t>risk_stack</t>
        </is>
      </c>
      <c r="B9" t="inlineStr">
        <is>
          <t>0</t>
        </is>
      </c>
      <c r="C9" t="n">
        <v>2773</v>
      </c>
      <c r="D9" t="n">
        <v>16.7</v>
      </c>
      <c r="E9" t="n">
        <v>0.7</v>
      </c>
      <c r="F9" t="inlineStr">
        <is>
          <t>да (комбо)</t>
        </is>
      </c>
    </row>
    <row r="10">
      <c r="A10" t="inlineStr">
        <is>
          <t>risk_stack</t>
        </is>
      </c>
      <c r="B10" t="inlineStr">
        <is>
          <t>3</t>
        </is>
      </c>
      <c r="C10" t="n">
        <v>1251</v>
      </c>
      <c r="D10" t="n">
        <v>37.7</v>
      </c>
      <c r="E10" t="n">
        <v>1.57</v>
      </c>
      <c r="F10" t="inlineStr">
        <is>
          <t>да (комбо)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ЗАЧИТАЙ ЕСЛИ СПРОСЯТ ЧЕМ ВЫ ЛУЧШЕ</t>
        </is>
      </c>
    </row>
    <row r="3" ht="170" customHeight="1">
      <c r="A3" s="6" t="inlineStr">
        <is>
          <t>Мы сделали двухуровневый target: primary DPD30 за 6 месяцев — для модели, и severe (неоплата или DPD90) — ближе к реальным потерям.
В фичах не используем коллекшн по нашему кредиту — это будущее. Вместо этого берём историю жёсткой просрочки в бюро до заявки: у таких клиентов bad 42% против средних 24%.
Плюс thin-file / нет бюро и cashflow-прокси с карты вместо несуществующего баланса. Динамику расходов тоже считали — сигнал слабее, поэтому в ядро не тащим ради красоты.
Risk stack из флагов: 0 флагов → 17% bad, 3 флага → 38%.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application_id</t>
        </is>
      </c>
      <c r="B1" s="4" t="inlineStr">
        <is>
          <t>client_id</t>
        </is>
      </c>
      <c r="C1" s="4" t="inlineStr">
        <is>
          <t>decision_date</t>
        </is>
      </c>
      <c r="D1" s="4" t="inlineStr">
        <is>
          <t>issue_date</t>
        </is>
      </c>
      <c r="E1" s="4" t="inlineStr">
        <is>
          <t>target_primary</t>
        </is>
      </c>
      <c r="F1" s="4" t="inlineStr">
        <is>
          <t>target_hard</t>
        </is>
      </c>
      <c r="G1" s="4" t="inlineStr">
        <is>
          <t>target_early</t>
        </is>
      </c>
      <c r="H1" s="4" t="inlineStr">
        <is>
          <t>target_severe</t>
        </is>
      </c>
      <c r="I1" s="4" t="inlineStr">
        <is>
          <t>max_dpd_6m</t>
        </is>
      </c>
      <c r="J1" s="4" t="inlineStr">
        <is>
          <t>n_late30_6m</t>
        </is>
      </c>
      <c r="K1" s="4" t="inlineStr">
        <is>
          <t>n_unpaid30_6m</t>
        </is>
      </c>
      <c r="L1" s="4" t="inlineStr">
        <is>
          <t>channel</t>
        </is>
      </c>
      <c r="M1" s="4" t="inlineStr">
        <is>
          <t>purpose</t>
        </is>
      </c>
      <c r="N1" s="4" t="inlineStr">
        <is>
          <t>requested_amount_uzs</t>
        </is>
      </c>
      <c r="O1" s="4" t="inlineStr">
        <is>
          <t>declared_income_uzs</t>
        </is>
      </c>
      <c r="P1" s="4" t="inlineStr">
        <is>
          <t>employment_months</t>
        </is>
      </c>
      <c r="Q1" s="4" t="inlineStr">
        <is>
          <t>term_months</t>
        </is>
      </c>
      <c r="R1" s="4" t="inlineStr">
        <is>
          <t>bureau_score</t>
        </is>
      </c>
      <c r="S1" s="4" t="inlineStr">
        <is>
          <t>existing_debt_uzs</t>
        </is>
      </c>
      <c r="T1" s="4" t="inlineStr">
        <is>
          <t>active_loans_cnt</t>
        </is>
      </c>
      <c r="U1" s="4" t="inlineStr">
        <is>
          <t>no_bureau</t>
        </is>
      </c>
      <c r="V1" s="4" t="inlineStr">
        <is>
          <t>inq_30d</t>
        </is>
      </c>
      <c r="W1" s="4" t="inlineStr">
        <is>
          <t>inq_90d</t>
        </is>
      </c>
      <c r="X1" s="4" t="inlineStr">
        <is>
          <t>inq_mfo_90d</t>
        </is>
      </c>
      <c r="Y1" s="4" t="inlineStr">
        <is>
          <t>loans_ever</t>
        </is>
      </c>
      <c r="Z1" s="4" t="inlineStr">
        <is>
          <t>loans_open_asof</t>
        </is>
      </c>
      <c r="AA1" s="4" t="inlineStr">
        <is>
          <t>outstanding_asof</t>
        </is>
      </c>
      <c r="AB1" s="4" t="inlineStr">
        <is>
          <t>worst_dpd_hist</t>
        </is>
      </c>
      <c r="AC1" s="4" t="inlineStr">
        <is>
          <t>past_bad_bureau</t>
        </is>
      </c>
      <c r="AD1" s="4" t="inlineStr">
        <is>
          <t>past_hard_bureau</t>
        </is>
      </c>
      <c r="AE1" s="4" t="inlineStr">
        <is>
          <t>has_card</t>
        </is>
      </c>
      <c r="AF1" s="4" t="inlineStr">
        <is>
          <t>txn_cnt_180</t>
        </is>
      </c>
      <c r="AG1" s="4" t="inlineStr">
        <is>
          <t>salary_180</t>
        </is>
      </c>
      <c r="AH1" s="4" t="inlineStr">
        <is>
          <t>cashout_180</t>
        </is>
      </c>
      <c r="AI1" s="4" t="inlineStr">
        <is>
          <t>purchase_180</t>
        </is>
      </c>
      <c r="AJ1" s="4" t="inlineStr">
        <is>
          <t>cashflow_180</t>
        </is>
      </c>
      <c r="AK1" s="4" t="inlineStr">
        <is>
          <t>turn_30</t>
        </is>
      </c>
      <c r="AL1" s="4" t="inlineStr">
        <is>
          <t>turn_m3</t>
        </is>
      </c>
      <c r="AM1" s="4" t="inlineStr">
        <is>
          <t>spend_accel</t>
        </is>
      </c>
      <c r="AN1" s="4" t="inlineStr">
        <is>
          <t>decline_rate</t>
        </is>
      </c>
      <c r="AO1" s="4" t="inlineStr">
        <is>
          <t>pti</t>
        </is>
      </c>
      <c r="AP1" s="4" t="inlineStr">
        <is>
          <t>thin_file</t>
        </is>
      </c>
      <c r="AQ1" s="4" t="inlineStr">
        <is>
          <t>risk_stack</t>
        </is>
      </c>
      <c r="AR1" s="4" t="inlineStr">
        <is>
          <t>issued_amount_uzs</t>
        </is>
      </c>
    </row>
    <row r="2">
      <c r="A2" t="n">
        <v>6192</v>
      </c>
      <c r="B2" t="n">
        <v>3981</v>
      </c>
      <c r="C2" t="inlineStr">
        <is>
          <t>2024-03-31</t>
        </is>
      </c>
      <c r="D2" t="inlineStr">
        <is>
          <t>2024-04-02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inlineStr">
        <is>
          <t>mobile_app</t>
        </is>
      </c>
      <c r="M2" t="inlineStr">
        <is>
          <t>education</t>
        </is>
      </c>
      <c r="N2" t="n">
        <v>3000000</v>
      </c>
      <c r="O2" t="n">
        <v>5260000</v>
      </c>
      <c r="P2" t="n">
        <v>157</v>
      </c>
      <c r="Q2" t="n">
        <v>24</v>
      </c>
      <c r="R2" t="n">
        <v>681</v>
      </c>
      <c r="S2" t="n">
        <v>5000000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2</v>
      </c>
      <c r="AA2" t="n">
        <v>4751785</v>
      </c>
      <c r="AB2" t="n">
        <v>9</v>
      </c>
      <c r="AC2" t="n">
        <v>0</v>
      </c>
      <c r="AD2" t="n">
        <v>0</v>
      </c>
      <c r="AE2" t="n">
        <v>1</v>
      </c>
      <c r="AF2" t="n">
        <v>40</v>
      </c>
      <c r="AG2" t="n">
        <v>23686720</v>
      </c>
      <c r="AH2" t="n">
        <v>95807</v>
      </c>
      <c r="AI2" t="n">
        <v>5127969</v>
      </c>
      <c r="AJ2" t="n">
        <v>18462944</v>
      </c>
      <c r="AK2" t="n">
        <v>4430886</v>
      </c>
      <c r="AL2" t="n">
        <v>4529536</v>
      </c>
      <c r="AM2" t="n">
        <v>0.9782207272444684</v>
      </c>
      <c r="AN2" t="n">
        <v>0.075</v>
      </c>
      <c r="AO2" t="n">
        <v>0.5703422053231939</v>
      </c>
      <c r="AP2" t="n">
        <v>0</v>
      </c>
      <c r="AQ2" t="n">
        <v>0</v>
      </c>
      <c r="AR2" t="n">
        <v>2900000</v>
      </c>
    </row>
    <row r="3">
      <c r="A3" t="n">
        <v>16808</v>
      </c>
      <c r="B3" t="n">
        <v>1382</v>
      </c>
      <c r="C3" t="inlineStr">
        <is>
          <t>2024-05-13</t>
        </is>
      </c>
      <c r="D3" t="inlineStr">
        <is>
          <t>2024-05-18</t>
        </is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inlineStr">
        <is>
          <t>agent</t>
        </is>
      </c>
      <c r="M3" t="inlineStr">
        <is>
          <t>other</t>
        </is>
      </c>
      <c r="N3" t="n">
        <v>10700000</v>
      </c>
      <c r="O3" t="n">
        <v>4080000</v>
      </c>
      <c r="P3" t="n">
        <v>204</v>
      </c>
      <c r="Q3" t="n">
        <v>12</v>
      </c>
      <c r="R3" t="n">
        <v>692</v>
      </c>
      <c r="S3" t="n">
        <v>2000000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2758630</v>
      </c>
      <c r="AB3" t="n">
        <v>32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O3" t="n">
        <v>2.622549019607843</v>
      </c>
      <c r="AP3" t="n">
        <v>0</v>
      </c>
      <c r="AQ3" t="n">
        <v>1</v>
      </c>
      <c r="AR3" t="n">
        <v>9900000</v>
      </c>
    </row>
    <row r="4">
      <c r="A4" t="n">
        <v>12099</v>
      </c>
      <c r="B4" t="n">
        <v>30493</v>
      </c>
      <c r="C4" t="inlineStr">
        <is>
          <t>2024-08-23</t>
        </is>
      </c>
      <c r="D4" t="inlineStr">
        <is>
          <t>2024-08-26</t>
        </is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inlineStr">
        <is>
          <t>mobile_app</t>
        </is>
      </c>
      <c r="M4" t="inlineStr">
        <is>
          <t>consumer</t>
        </is>
      </c>
      <c r="N4" t="n">
        <v>2800000</v>
      </c>
      <c r="O4" t="n">
        <v>2000000</v>
      </c>
      <c r="P4" t="n">
        <v>206</v>
      </c>
      <c r="Q4" t="n">
        <v>6</v>
      </c>
      <c r="R4" t="n">
        <v>582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O4" t="n">
        <v>1.4</v>
      </c>
      <c r="AP4" t="n">
        <v>1</v>
      </c>
      <c r="AQ4" t="n">
        <v>1</v>
      </c>
      <c r="AR4" t="n">
        <v>2800000</v>
      </c>
    </row>
    <row r="5">
      <c r="A5" t="n">
        <v>9124</v>
      </c>
      <c r="B5" t="n">
        <v>5212</v>
      </c>
      <c r="C5" t="inlineStr">
        <is>
          <t>2024-09-16</t>
        </is>
      </c>
      <c r="D5" t="inlineStr">
        <is>
          <t>2024-09-17</t>
        </is>
      </c>
      <c r="E5" t="n">
        <v>1</v>
      </c>
      <c r="F5" t="n">
        <v>0</v>
      </c>
      <c r="G5" t="n">
        <v>1</v>
      </c>
      <c r="H5" t="n">
        <v>0</v>
      </c>
      <c r="I5" t="n">
        <v>36</v>
      </c>
      <c r="J5" t="n">
        <v>1</v>
      </c>
      <c r="K5" t="n">
        <v>0</v>
      </c>
      <c r="L5" t="inlineStr">
        <is>
          <t>branch</t>
        </is>
      </c>
      <c r="M5" t="inlineStr">
        <is>
          <t>medical</t>
        </is>
      </c>
      <c r="N5" t="n">
        <v>2000000</v>
      </c>
      <c r="O5" t="n">
        <v>2000000</v>
      </c>
      <c r="P5" t="n">
        <v>113</v>
      </c>
      <c r="Q5" t="n">
        <v>12</v>
      </c>
      <c r="R5" t="n">
        <v>598</v>
      </c>
      <c r="S5" t="n">
        <v>1000000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20</v>
      </c>
      <c r="AG5" t="n">
        <v>0</v>
      </c>
      <c r="AH5" t="n">
        <v>194745</v>
      </c>
      <c r="AI5" t="n">
        <v>4002884</v>
      </c>
      <c r="AJ5" t="n">
        <v>-4197629</v>
      </c>
      <c r="AK5" t="n">
        <v>2001657</v>
      </c>
      <c r="AL5" t="n">
        <v>895523</v>
      </c>
      <c r="AM5" t="n">
        <v>2.23518212262555</v>
      </c>
      <c r="AN5" t="n">
        <v>0</v>
      </c>
      <c r="AO5" t="n">
        <v>1</v>
      </c>
      <c r="AP5" t="n">
        <v>0</v>
      </c>
      <c r="AQ5" t="n">
        <v>0</v>
      </c>
      <c r="AR5" t="n">
        <v>1700000</v>
      </c>
    </row>
    <row r="6">
      <c r="A6" t="n">
        <v>1772</v>
      </c>
      <c r="B6" t="n">
        <v>26248</v>
      </c>
      <c r="C6" t="inlineStr">
        <is>
          <t>2023-08-30</t>
        </is>
      </c>
      <c r="D6" t="inlineStr">
        <is>
          <t>2023-09-01</t>
        </is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inlineStr">
        <is>
          <t>branch</t>
        </is>
      </c>
      <c r="M6" t="inlineStr">
        <is>
          <t>education</t>
        </is>
      </c>
      <c r="N6" t="n">
        <v>7700000</v>
      </c>
      <c r="O6" t="n">
        <v>5830000</v>
      </c>
      <c r="P6" t="n">
        <v>169</v>
      </c>
      <c r="Q6" t="n">
        <v>12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O6" t="n">
        <v>1.320754716981132</v>
      </c>
      <c r="AP6" t="n">
        <v>1</v>
      </c>
      <c r="AQ6" t="n">
        <v>2</v>
      </c>
      <c r="AR6" t="n">
        <v>6900000</v>
      </c>
    </row>
    <row r="7">
      <c r="A7" t="n">
        <v>9451</v>
      </c>
      <c r="B7" t="n">
        <v>4473</v>
      </c>
      <c r="C7" t="inlineStr">
        <is>
          <t>2023-06-21</t>
        </is>
      </c>
      <c r="D7" t="inlineStr">
        <is>
          <t>2023-06-26</t>
        </is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inlineStr">
        <is>
          <t>branch</t>
        </is>
      </c>
      <c r="M7" t="inlineStr">
        <is>
          <t>education</t>
        </is>
      </c>
      <c r="N7" t="n">
        <v>10800000</v>
      </c>
      <c r="O7" t="n">
        <v>5210000</v>
      </c>
      <c r="P7" t="n">
        <v>144</v>
      </c>
      <c r="Q7" t="n">
        <v>18</v>
      </c>
      <c r="R7" t="n">
        <v>795</v>
      </c>
      <c r="S7" t="n">
        <v>5000000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O7" t="n">
        <v>2.072936660268714</v>
      </c>
      <c r="AP7" t="n">
        <v>0</v>
      </c>
      <c r="AQ7" t="n">
        <v>1</v>
      </c>
      <c r="AR7" t="n">
        <v>8000000</v>
      </c>
    </row>
    <row r="8">
      <c r="A8" t="n">
        <v>8055</v>
      </c>
      <c r="B8" t="n">
        <v>6148</v>
      </c>
      <c r="C8" t="inlineStr">
        <is>
          <t>2024-05-25</t>
        </is>
      </c>
      <c r="D8" t="inlineStr">
        <is>
          <t>2024-05-26</t>
        </is>
      </c>
      <c r="E8" t="n">
        <v>1</v>
      </c>
      <c r="F8" t="n">
        <v>1</v>
      </c>
      <c r="G8" t="n">
        <v>1</v>
      </c>
      <c r="H8" t="n">
        <v>1</v>
      </c>
      <c r="I8" t="n">
        <v>280</v>
      </c>
      <c r="J8" t="n">
        <v>4</v>
      </c>
      <c r="K8" t="n">
        <v>4</v>
      </c>
      <c r="L8" t="inlineStr">
        <is>
          <t>mobile_app</t>
        </is>
      </c>
      <c r="M8" t="inlineStr">
        <is>
          <t>education</t>
        </is>
      </c>
      <c r="N8" t="n">
        <v>12100000</v>
      </c>
      <c r="O8" t="n">
        <v>8580000</v>
      </c>
      <c r="P8" t="n">
        <v>154</v>
      </c>
      <c r="Q8" t="n">
        <v>18</v>
      </c>
      <c r="R8" t="n">
        <v>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2088612</v>
      </c>
      <c r="AB8" t="n">
        <v>26</v>
      </c>
      <c r="AC8" t="n">
        <v>0</v>
      </c>
      <c r="AD8" t="n">
        <v>0</v>
      </c>
      <c r="AE8" t="n">
        <v>1</v>
      </c>
      <c r="AF8" t="n">
        <v>31</v>
      </c>
      <c r="AG8" t="n">
        <v>0</v>
      </c>
      <c r="AH8" t="n">
        <v>35197</v>
      </c>
      <c r="AI8" t="n">
        <v>4865024</v>
      </c>
      <c r="AJ8" t="n">
        <v>-4900221</v>
      </c>
      <c r="AK8" t="n">
        <v>1326766</v>
      </c>
      <c r="AL8" t="n">
        <v>975650</v>
      </c>
      <c r="AM8" t="n">
        <v>1.359879054988982</v>
      </c>
      <c r="AN8" t="n">
        <v>0.09677419354838709</v>
      </c>
      <c r="AO8" t="n">
        <v>1.41025641025641</v>
      </c>
      <c r="AP8" t="n">
        <v>0</v>
      </c>
      <c r="AQ8" t="n">
        <v>0</v>
      </c>
      <c r="AR8" t="n">
        <v>10200000</v>
      </c>
    </row>
    <row r="9">
      <c r="A9" t="n">
        <v>1243</v>
      </c>
      <c r="B9" t="n">
        <v>7778</v>
      </c>
      <c r="C9" t="inlineStr">
        <is>
          <t>2024-06-16</t>
        </is>
      </c>
      <c r="D9" t="inlineStr">
        <is>
          <t>2024-06-19</t>
        </is>
      </c>
      <c r="E9" t="n">
        <v>0</v>
      </c>
      <c r="F9" t="n">
        <v>0</v>
      </c>
      <c r="G9" t="n">
        <v>0</v>
      </c>
      <c r="H9" t="n">
        <v>0</v>
      </c>
      <c r="I9" t="n">
        <v>12</v>
      </c>
      <c r="J9" t="n">
        <v>0</v>
      </c>
      <c r="K9" t="n">
        <v>0</v>
      </c>
      <c r="L9" t="inlineStr">
        <is>
          <t>branch</t>
        </is>
      </c>
      <c r="M9" t="inlineStr">
        <is>
          <t>education</t>
        </is>
      </c>
      <c r="N9" t="n">
        <v>3500000</v>
      </c>
      <c r="O9" t="n">
        <v>2000000</v>
      </c>
      <c r="P9" t="n">
        <v>118</v>
      </c>
      <c r="Q9" t="n">
        <v>6</v>
      </c>
      <c r="R9" t="n">
        <v>688</v>
      </c>
      <c r="S9" t="n">
        <v>13000000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2</v>
      </c>
      <c r="AA9" t="n">
        <v>4103565</v>
      </c>
      <c r="AB9" t="n">
        <v>5</v>
      </c>
      <c r="AC9" t="n">
        <v>0</v>
      </c>
      <c r="AD9" t="n">
        <v>0</v>
      </c>
      <c r="AE9" t="n">
        <v>1</v>
      </c>
      <c r="AF9" t="n">
        <v>28</v>
      </c>
      <c r="AG9" t="n">
        <v>0</v>
      </c>
      <c r="AH9" t="n">
        <v>136458</v>
      </c>
      <c r="AI9" t="n">
        <v>8115137</v>
      </c>
      <c r="AJ9" t="n">
        <v>-8251595</v>
      </c>
      <c r="AK9" t="n">
        <v>1645218</v>
      </c>
      <c r="AL9" t="n">
        <v>541040</v>
      </c>
      <c r="AM9" t="n">
        <v>3.040843560550052</v>
      </c>
      <c r="AN9" t="n">
        <v>0.0714285714285714</v>
      </c>
      <c r="AO9" t="n">
        <v>1.75</v>
      </c>
      <c r="AP9" t="n">
        <v>0</v>
      </c>
      <c r="AQ9" t="n">
        <v>1</v>
      </c>
      <c r="AR9" t="n">
        <v>3300000</v>
      </c>
    </row>
    <row r="10">
      <c r="A10" t="n">
        <v>3507</v>
      </c>
      <c r="B10" t="n">
        <v>2730</v>
      </c>
      <c r="C10" t="inlineStr">
        <is>
          <t>2024-07-21</t>
        </is>
      </c>
      <c r="D10" t="inlineStr">
        <is>
          <t>2024-07-22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inlineStr">
        <is>
          <t>agent</t>
        </is>
      </c>
      <c r="M10" t="inlineStr">
        <is>
          <t>education</t>
        </is>
      </c>
      <c r="N10" t="n">
        <v>30000000</v>
      </c>
      <c r="O10" t="n">
        <v>19040000</v>
      </c>
      <c r="P10" t="n">
        <v>238</v>
      </c>
      <c r="Q10" t="n">
        <v>9</v>
      </c>
      <c r="R10" t="n">
        <v>794</v>
      </c>
      <c r="S10" t="n">
        <v>8000000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4</v>
      </c>
      <c r="Z10" t="n">
        <v>1</v>
      </c>
      <c r="AA10" t="n">
        <v>8000000</v>
      </c>
      <c r="AB10" t="n">
        <v>8</v>
      </c>
      <c r="AC10" t="n">
        <v>0</v>
      </c>
      <c r="AD10" t="n">
        <v>0</v>
      </c>
      <c r="AE10" t="n">
        <v>1</v>
      </c>
      <c r="AF10" t="n">
        <v>31</v>
      </c>
      <c r="AG10" t="n">
        <v>0</v>
      </c>
      <c r="AH10" t="n">
        <v>732649</v>
      </c>
      <c r="AI10" t="n">
        <v>8665221</v>
      </c>
      <c r="AJ10" t="n">
        <v>-9397870</v>
      </c>
      <c r="AK10" t="n">
        <v>624751</v>
      </c>
      <c r="AL10" t="n">
        <v>3056415</v>
      </c>
      <c r="AM10" t="n">
        <v>0.204406469671167</v>
      </c>
      <c r="AN10" t="n">
        <v>0.032258064516129</v>
      </c>
      <c r="AO10" t="n">
        <v>1.57563025210084</v>
      </c>
      <c r="AP10" t="n">
        <v>0</v>
      </c>
      <c r="AQ10" t="n">
        <v>1</v>
      </c>
      <c r="AR10" t="n">
        <v>21800000</v>
      </c>
    </row>
    <row r="11">
      <c r="A11" t="n">
        <v>6252</v>
      </c>
      <c r="B11" t="n">
        <v>2600</v>
      </c>
      <c r="C11" t="inlineStr">
        <is>
          <t>2024-01-14</t>
        </is>
      </c>
      <c r="D11" t="inlineStr">
        <is>
          <t>2024-01-19</t>
        </is>
      </c>
      <c r="E11" t="n">
        <v>0</v>
      </c>
      <c r="F11" t="n">
        <v>0</v>
      </c>
      <c r="G11" t="n">
        <v>0</v>
      </c>
      <c r="H11" t="n">
        <v>0</v>
      </c>
      <c r="I11" t="n">
        <v>7</v>
      </c>
      <c r="J11" t="n">
        <v>0</v>
      </c>
      <c r="K11" t="n">
        <v>0</v>
      </c>
      <c r="L11" t="inlineStr">
        <is>
          <t>mobile_app</t>
        </is>
      </c>
      <c r="M11" t="inlineStr">
        <is>
          <t>medical</t>
        </is>
      </c>
      <c r="N11" t="n">
        <v>3700000</v>
      </c>
      <c r="O11" t="n">
        <v>4450000</v>
      </c>
      <c r="P11" t="n">
        <v>5</v>
      </c>
      <c r="Q11" t="n">
        <v>18</v>
      </c>
      <c r="R11" t="n">
        <v>578</v>
      </c>
      <c r="S11" t="n">
        <v>17000000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35</v>
      </c>
      <c r="AG11" t="n">
        <v>28801832</v>
      </c>
      <c r="AH11" t="n">
        <v>876524</v>
      </c>
      <c r="AI11" t="n">
        <v>4078367</v>
      </c>
      <c r="AJ11" t="n">
        <v>23846941</v>
      </c>
      <c r="AK11" t="n">
        <v>5878007</v>
      </c>
      <c r="AL11" t="n">
        <v>5671020</v>
      </c>
      <c r="AM11" t="n">
        <v>1.036499077767315</v>
      </c>
      <c r="AN11" t="n">
        <v>0.0857142857142857</v>
      </c>
      <c r="AO11" t="n">
        <v>0.8314606741573034</v>
      </c>
      <c r="AP11" t="n">
        <v>0</v>
      </c>
      <c r="AQ11" t="n">
        <v>0</v>
      </c>
      <c r="AR11" t="n">
        <v>2600000</v>
      </c>
    </row>
    <row r="12">
      <c r="A12" t="n">
        <v>13898</v>
      </c>
      <c r="B12" t="n">
        <v>814</v>
      </c>
      <c r="C12" t="inlineStr">
        <is>
          <t>2024-03-09</t>
        </is>
      </c>
      <c r="D12" t="inlineStr">
        <is>
          <t>2024-03-13</t>
        </is>
      </c>
      <c r="E12" t="n">
        <v>0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inlineStr">
        <is>
          <t>agent</t>
        </is>
      </c>
      <c r="M12" t="inlineStr">
        <is>
          <t>consumer</t>
        </is>
      </c>
      <c r="N12" t="n">
        <v>2500000</v>
      </c>
      <c r="O12" t="n">
        <v>27540000</v>
      </c>
      <c r="P12" t="n">
        <v>234</v>
      </c>
      <c r="Q12" t="n">
        <v>24</v>
      </c>
      <c r="R12" t="n">
        <v>801</v>
      </c>
      <c r="S12" t="n">
        <v>3000000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4</v>
      </c>
      <c r="Z12" t="n">
        <v>1</v>
      </c>
      <c r="AA12" t="n">
        <v>533621</v>
      </c>
      <c r="AB12" t="n">
        <v>45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O12" t="n">
        <v>0.0907770515613652</v>
      </c>
      <c r="AP12" t="n">
        <v>0</v>
      </c>
      <c r="AQ12" t="n">
        <v>0</v>
      </c>
      <c r="AR12" t="n">
        <v>2400000</v>
      </c>
    </row>
    <row r="13">
      <c r="A13" t="n">
        <v>4525</v>
      </c>
      <c r="B13" t="n">
        <v>7122</v>
      </c>
      <c r="C13" t="inlineStr">
        <is>
          <t>2023-06-28</t>
        </is>
      </c>
      <c r="D13" t="inlineStr">
        <is>
          <t>2023-07-01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>
        <is>
          <t>mobile_app</t>
        </is>
      </c>
      <c r="M13" t="inlineStr">
        <is>
          <t>repair</t>
        </is>
      </c>
      <c r="N13" t="n">
        <v>5300000</v>
      </c>
      <c r="O13" t="n">
        <v>11260000</v>
      </c>
      <c r="P13" t="n">
        <v>123</v>
      </c>
      <c r="Q13" t="n">
        <v>24</v>
      </c>
      <c r="R13" t="n">
        <v>879</v>
      </c>
      <c r="S13" t="n">
        <v>3000000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46</v>
      </c>
      <c r="AG13" t="n">
        <v>63496519</v>
      </c>
      <c r="AH13" t="n">
        <v>1062799</v>
      </c>
      <c r="AI13" t="n">
        <v>12872441</v>
      </c>
      <c r="AJ13" t="n">
        <v>49561279</v>
      </c>
      <c r="AK13" t="n">
        <v>12404671</v>
      </c>
      <c r="AL13" t="n">
        <v>12715931</v>
      </c>
      <c r="AM13" t="n">
        <v>0.975522043962019</v>
      </c>
      <c r="AN13" t="n">
        <v>0.0217391304347826</v>
      </c>
      <c r="AO13" t="n">
        <v>0.4706927175843694</v>
      </c>
      <c r="AP13" t="n">
        <v>0</v>
      </c>
      <c r="AQ13" t="n">
        <v>0</v>
      </c>
      <c r="AR13" t="n">
        <v>4000000</v>
      </c>
    </row>
    <row r="14">
      <c r="A14" t="n">
        <v>2271</v>
      </c>
      <c r="B14" t="n">
        <v>2519</v>
      </c>
      <c r="C14" t="inlineStr">
        <is>
          <t>2024-07-12</t>
        </is>
      </c>
      <c r="D14" t="inlineStr">
        <is>
          <t>2024-07-16</t>
        </is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inlineStr">
        <is>
          <t>agent</t>
        </is>
      </c>
      <c r="M14" t="inlineStr">
        <is>
          <t>medical</t>
        </is>
      </c>
      <c r="N14" t="n">
        <v>4200000</v>
      </c>
      <c r="O14" t="n">
        <v>11760000</v>
      </c>
      <c r="P14" t="n">
        <v>22</v>
      </c>
      <c r="Q14" t="n">
        <v>12</v>
      </c>
      <c r="R14" t="n">
        <v>646</v>
      </c>
      <c r="S14" t="n">
        <v>1000000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1</v>
      </c>
      <c r="AA14" t="n">
        <v>2000000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O14" t="n">
        <v>0.3571428571428571</v>
      </c>
      <c r="AP14" t="n">
        <v>1</v>
      </c>
      <c r="AQ14" t="n">
        <v>1</v>
      </c>
      <c r="AR14" t="n">
        <v>3000000</v>
      </c>
    </row>
    <row r="15">
      <c r="A15" t="n">
        <v>14149</v>
      </c>
      <c r="B15" t="n">
        <v>31639</v>
      </c>
      <c r="C15" t="inlineStr">
        <is>
          <t>2024-01-08</t>
        </is>
      </c>
      <c r="D15" t="inlineStr">
        <is>
          <t>2024-01-13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mobile_app</t>
        </is>
      </c>
      <c r="M15" t="inlineStr">
        <is>
          <t>education</t>
        </is>
      </c>
      <c r="N15" t="n">
        <v>32400000</v>
      </c>
      <c r="O15" t="n">
        <v>9140000</v>
      </c>
      <c r="P15" t="n">
        <v>188</v>
      </c>
      <c r="Q15" t="n">
        <v>24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O15" t="n">
        <v>3.544857768052517</v>
      </c>
      <c r="AP15" t="n">
        <v>1</v>
      </c>
      <c r="AQ15" t="n">
        <v>3</v>
      </c>
      <c r="AR15" t="n">
        <v>23600000</v>
      </c>
    </row>
    <row r="16">
      <c r="A16" t="n">
        <v>1554</v>
      </c>
      <c r="B16" t="n">
        <v>3938</v>
      </c>
      <c r="C16" t="inlineStr">
        <is>
          <t>2024-03-24</t>
        </is>
      </c>
      <c r="D16" t="inlineStr">
        <is>
          <t>2024-03-29</t>
        </is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inlineStr">
        <is>
          <t>mobile_app</t>
        </is>
      </c>
      <c r="M16" t="inlineStr">
        <is>
          <t>medical</t>
        </is>
      </c>
      <c r="N16" t="n">
        <v>36300000</v>
      </c>
      <c r="O16" t="n">
        <v>21900000</v>
      </c>
      <c r="P16" t="n">
        <v>35</v>
      </c>
      <c r="Q16" t="n">
        <v>18</v>
      </c>
      <c r="R16" t="n">
        <v>633</v>
      </c>
      <c r="S16" t="n">
        <v>3000000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</v>
      </c>
      <c r="AA16" t="n">
        <v>200000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O16" t="n">
        <v>1.657534246575342</v>
      </c>
      <c r="AP16" t="n">
        <v>1</v>
      </c>
      <c r="AQ16" t="n">
        <v>2</v>
      </c>
      <c r="AR16" t="n">
        <v>33000000</v>
      </c>
    </row>
    <row r="17">
      <c r="A17" t="n">
        <v>3692</v>
      </c>
      <c r="B17" t="n">
        <v>23367</v>
      </c>
      <c r="C17" t="inlineStr">
        <is>
          <t>2023-12-13</t>
        </is>
      </c>
      <c r="D17" t="inlineStr">
        <is>
          <t>2023-12-15</t>
        </is>
      </c>
      <c r="E17" t="n">
        <v>0</v>
      </c>
      <c r="F17" t="n">
        <v>0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  <c r="L17" t="inlineStr">
        <is>
          <t>branch</t>
        </is>
      </c>
      <c r="M17" t="inlineStr">
        <is>
          <t>medical</t>
        </is>
      </c>
      <c r="N17" t="n">
        <v>16000000</v>
      </c>
      <c r="O17" t="n">
        <v>6030000</v>
      </c>
      <c r="P17" t="n">
        <v>163</v>
      </c>
      <c r="Q17" t="n">
        <v>12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O17" t="n">
        <v>2.653399668325041</v>
      </c>
      <c r="AP17" t="n">
        <v>1</v>
      </c>
      <c r="AQ17" t="n">
        <v>3</v>
      </c>
      <c r="AR17" t="n">
        <v>11500000</v>
      </c>
    </row>
    <row r="18">
      <c r="A18" t="n">
        <v>7569</v>
      </c>
      <c r="B18" t="n">
        <v>200</v>
      </c>
      <c r="C18" t="inlineStr">
        <is>
          <t>2024-08-08</t>
        </is>
      </c>
      <c r="D18" t="inlineStr">
        <is>
          <t>2024-08-13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mobile_app</t>
        </is>
      </c>
      <c r="M18" t="inlineStr">
        <is>
          <t>consumer</t>
        </is>
      </c>
      <c r="N18" t="n">
        <v>8100000</v>
      </c>
      <c r="O18" t="n">
        <v>8020000</v>
      </c>
      <c r="P18" t="n">
        <v>95</v>
      </c>
      <c r="Q18" t="n">
        <v>12</v>
      </c>
      <c r="R18" t="n">
        <v>900</v>
      </c>
      <c r="S18" t="n">
        <v>19000000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2</v>
      </c>
      <c r="AA18" t="n">
        <v>9807593</v>
      </c>
      <c r="AB18" t="n">
        <v>12</v>
      </c>
      <c r="AC18" t="n">
        <v>0</v>
      </c>
      <c r="AD18" t="n">
        <v>0</v>
      </c>
      <c r="AE18" t="n">
        <v>1</v>
      </c>
      <c r="AF18" t="n">
        <v>18</v>
      </c>
      <c r="AG18" t="n">
        <v>0</v>
      </c>
      <c r="AH18" t="n">
        <v>69796</v>
      </c>
      <c r="AI18" t="n">
        <v>3377905</v>
      </c>
      <c r="AJ18" t="n">
        <v>-3447701</v>
      </c>
      <c r="AK18" t="n">
        <v>961854</v>
      </c>
      <c r="AL18" t="n">
        <v>1159394</v>
      </c>
      <c r="AM18" t="n">
        <v>0.8296178865855783</v>
      </c>
      <c r="AN18" t="n">
        <v>0.0555555555555555</v>
      </c>
      <c r="AO18" t="n">
        <v>1.00997506234414</v>
      </c>
      <c r="AP18" t="n">
        <v>0</v>
      </c>
      <c r="AQ18" t="n">
        <v>0</v>
      </c>
      <c r="AR18" t="n">
        <v>5700000</v>
      </c>
    </row>
    <row r="19">
      <c r="A19" t="n">
        <v>17164</v>
      </c>
      <c r="B19" t="n">
        <v>804</v>
      </c>
      <c r="C19" t="inlineStr">
        <is>
          <t>2023-08-11</t>
        </is>
      </c>
      <c r="D19" t="inlineStr">
        <is>
          <t>2023-08-12</t>
        </is>
      </c>
      <c r="E19" t="n">
        <v>1</v>
      </c>
      <c r="F19" t="n">
        <v>0</v>
      </c>
      <c r="G19" t="n">
        <v>0</v>
      </c>
      <c r="H19" t="n">
        <v>0</v>
      </c>
      <c r="I19" t="n">
        <v>45</v>
      </c>
      <c r="J19" t="n">
        <v>1</v>
      </c>
      <c r="K19" t="n">
        <v>0</v>
      </c>
      <c r="L19" t="inlineStr">
        <is>
          <t>agent</t>
        </is>
      </c>
      <c r="M19" t="inlineStr">
        <is>
          <t>education</t>
        </is>
      </c>
      <c r="N19" t="n">
        <v>33400000</v>
      </c>
      <c r="O19" t="n">
        <v>12340000</v>
      </c>
      <c r="P19" t="n">
        <v>112</v>
      </c>
      <c r="Q19" t="n">
        <v>24</v>
      </c>
      <c r="R19" t="n">
        <v>672</v>
      </c>
      <c r="S19" t="n">
        <v>1000000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1905665</v>
      </c>
      <c r="AB19" t="n">
        <v>0</v>
      </c>
      <c r="AC19" t="n">
        <v>0</v>
      </c>
      <c r="AD19" t="n">
        <v>0</v>
      </c>
      <c r="AE19" t="n">
        <v>1</v>
      </c>
      <c r="AF19" t="n">
        <v>50</v>
      </c>
      <c r="AG19" t="n">
        <v>49921641</v>
      </c>
      <c r="AH19" t="n">
        <v>3417888</v>
      </c>
      <c r="AI19" t="n">
        <v>11792946</v>
      </c>
      <c r="AJ19" t="n">
        <v>34710807</v>
      </c>
      <c r="AK19" t="n">
        <v>11007457</v>
      </c>
      <c r="AL19" t="n">
        <v>11544593</v>
      </c>
      <c r="AM19" t="n">
        <v>0.9534729375041632</v>
      </c>
      <c r="AN19" t="n">
        <v>0.04</v>
      </c>
      <c r="AO19" t="n">
        <v>2.706645056726094</v>
      </c>
      <c r="AP19" t="n">
        <v>0</v>
      </c>
      <c r="AQ19" t="n">
        <v>1</v>
      </c>
      <c r="AR19" t="n">
        <v>24600000</v>
      </c>
    </row>
    <row r="20">
      <c r="A20" t="n">
        <v>6182</v>
      </c>
      <c r="B20" t="n">
        <v>7785</v>
      </c>
      <c r="C20" t="inlineStr">
        <is>
          <t>2024-09-20</t>
        </is>
      </c>
      <c r="D20" t="inlineStr">
        <is>
          <t>2024-09-23</t>
        </is>
      </c>
      <c r="E20" t="n">
        <v>0</v>
      </c>
      <c r="F20" t="n">
        <v>0</v>
      </c>
      <c r="G20" t="n">
        <v>0</v>
      </c>
      <c r="H20" t="n">
        <v>0</v>
      </c>
      <c r="I20" t="n">
        <v>7</v>
      </c>
      <c r="J20" t="n">
        <v>0</v>
      </c>
      <c r="K20" t="n">
        <v>0</v>
      </c>
      <c r="L20" t="inlineStr">
        <is>
          <t>mobile_app</t>
        </is>
      </c>
      <c r="M20" t="inlineStr">
        <is>
          <t>auto</t>
        </is>
      </c>
      <c r="N20" t="n">
        <v>12100000</v>
      </c>
      <c r="O20" t="n">
        <v>5560000</v>
      </c>
      <c r="P20" t="n">
        <v>4</v>
      </c>
      <c r="Q20" t="n">
        <v>12</v>
      </c>
      <c r="R20" t="n">
        <v>581</v>
      </c>
      <c r="S20" t="n">
        <v>6000000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1</v>
      </c>
      <c r="AA20" t="n">
        <v>3059125</v>
      </c>
      <c r="AB20" t="n">
        <v>130</v>
      </c>
      <c r="AC20" t="n">
        <v>1</v>
      </c>
      <c r="AD20" t="n">
        <v>1</v>
      </c>
      <c r="AE20" t="n">
        <v>1</v>
      </c>
      <c r="AF20" t="n">
        <v>42</v>
      </c>
      <c r="AG20" t="n">
        <v>26802198</v>
      </c>
      <c r="AH20" t="n">
        <v>581944</v>
      </c>
      <c r="AI20" t="n">
        <v>5412367</v>
      </c>
      <c r="AJ20" t="n">
        <v>20807887</v>
      </c>
      <c r="AK20" t="n">
        <v>5281095</v>
      </c>
      <c r="AL20" t="n">
        <v>6283387</v>
      </c>
      <c r="AM20" t="n">
        <v>0.8404853942626803</v>
      </c>
      <c r="AN20" t="n">
        <v>0.0476190476190476</v>
      </c>
      <c r="AO20" t="n">
        <v>2.176258992805755</v>
      </c>
      <c r="AP20" t="n">
        <v>0</v>
      </c>
      <c r="AQ20" t="n">
        <v>2</v>
      </c>
      <c r="AR20" t="n">
        <v>11700000</v>
      </c>
    </row>
    <row r="21">
      <c r="A21" t="n">
        <v>11082</v>
      </c>
      <c r="B21" t="n">
        <v>28031</v>
      </c>
      <c r="C21" t="inlineStr">
        <is>
          <t>2024-05-09</t>
        </is>
      </c>
      <c r="D21" t="inlineStr">
        <is>
          <t>2024-05-14</t>
        </is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  <c r="L21" t="inlineStr">
        <is>
          <t>branch</t>
        </is>
      </c>
      <c r="M21" t="inlineStr">
        <is>
          <t>medical</t>
        </is>
      </c>
      <c r="N21" t="n">
        <v>11900000</v>
      </c>
      <c r="O21" t="n">
        <v>10460000</v>
      </c>
      <c r="P21" t="n">
        <v>237</v>
      </c>
      <c r="Q21" t="n">
        <v>24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O21" t="n">
        <v>1.137667304015296</v>
      </c>
      <c r="AP21" t="n">
        <v>1</v>
      </c>
      <c r="AQ21" t="n">
        <v>2</v>
      </c>
      <c r="AR21" t="n">
        <v>10600000</v>
      </c>
    </row>
    <row r="22">
      <c r="A22" t="n">
        <v>11788</v>
      </c>
      <c r="B22" t="n">
        <v>26388</v>
      </c>
      <c r="C22" t="inlineStr">
        <is>
          <t>2023-08-24</t>
        </is>
      </c>
      <c r="D22" t="inlineStr">
        <is>
          <t>2023-08-25</t>
        </is>
      </c>
      <c r="E22" t="n">
        <v>0</v>
      </c>
      <c r="F22" t="n">
        <v>0</v>
      </c>
      <c r="G22" t="n">
        <v>0</v>
      </c>
      <c r="H22" t="n">
        <v>0</v>
      </c>
      <c r="I22" t="n">
        <v>12</v>
      </c>
      <c r="J22" t="n">
        <v>0</v>
      </c>
      <c r="K22" t="n">
        <v>0</v>
      </c>
      <c r="L22" t="inlineStr">
        <is>
          <t>branch</t>
        </is>
      </c>
      <c r="M22" t="inlineStr">
        <is>
          <t>auto</t>
        </is>
      </c>
      <c r="N22" t="n">
        <v>22800000</v>
      </c>
      <c r="O22" t="n">
        <v>6880000</v>
      </c>
      <c r="P22" t="n">
        <v>173</v>
      </c>
      <c r="Q22" t="n">
        <v>18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O22" t="n">
        <v>3.313953488372093</v>
      </c>
      <c r="AP22" t="n">
        <v>1</v>
      </c>
      <c r="AQ22" t="n">
        <v>3</v>
      </c>
      <c r="AR22" t="n">
        <v>17200000</v>
      </c>
    </row>
    <row r="23">
      <c r="A23" t="n">
        <v>8959</v>
      </c>
      <c r="B23" t="n">
        <v>3489</v>
      </c>
      <c r="C23" t="inlineStr">
        <is>
          <t>2023-11-09</t>
        </is>
      </c>
      <c r="D23" t="inlineStr">
        <is>
          <t>2023-11-14</t>
        </is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inlineStr">
        <is>
          <t>agent</t>
        </is>
      </c>
      <c r="M23" t="inlineStr">
        <is>
          <t>consumer</t>
        </is>
      </c>
      <c r="N23" t="n">
        <v>4100000</v>
      </c>
      <c r="O23" t="n">
        <v>18280000</v>
      </c>
      <c r="P23" t="n">
        <v>227</v>
      </c>
      <c r="Q23" t="n">
        <v>6</v>
      </c>
      <c r="R23" t="n">
        <v>650</v>
      </c>
      <c r="S23" t="n">
        <v>15000000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1</v>
      </c>
      <c r="AA23" t="n">
        <v>6571033</v>
      </c>
      <c r="AB23" t="n">
        <v>36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O23" t="n">
        <v>0.224288840262582</v>
      </c>
      <c r="AP23" t="n">
        <v>0</v>
      </c>
      <c r="AQ23" t="n">
        <v>0</v>
      </c>
      <c r="AR23" t="n">
        <v>3300000</v>
      </c>
    </row>
    <row r="24">
      <c r="A24" t="n">
        <v>6590</v>
      </c>
      <c r="B24" t="n">
        <v>30586</v>
      </c>
      <c r="C24" t="inlineStr">
        <is>
          <t>2024-08-05</t>
        </is>
      </c>
      <c r="D24" t="inlineStr">
        <is>
          <t>2024-08-07</t>
        </is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inlineStr">
        <is>
          <t>mobile_app</t>
        </is>
      </c>
      <c r="M24" t="inlineStr">
        <is>
          <t>other</t>
        </is>
      </c>
      <c r="N24" t="n">
        <v>30100000</v>
      </c>
      <c r="O24" t="n">
        <v>13710000</v>
      </c>
      <c r="P24" t="n">
        <v>66</v>
      </c>
      <c r="Q24" t="n">
        <v>18</v>
      </c>
      <c r="R24" t="n">
        <v>602</v>
      </c>
      <c r="S24" t="n">
        <v>12000000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O24" t="n">
        <v>2.195477753464624</v>
      </c>
      <c r="AP24" t="n">
        <v>1</v>
      </c>
      <c r="AQ24" t="n">
        <v>2</v>
      </c>
      <c r="AR24" t="n">
        <v>22600000</v>
      </c>
    </row>
    <row r="25">
      <c r="A25" t="n">
        <v>4907</v>
      </c>
      <c r="B25" t="n">
        <v>27396</v>
      </c>
      <c r="C25" t="inlineStr">
        <is>
          <t>2023-09-13</t>
        </is>
      </c>
      <c r="D25" t="inlineStr">
        <is>
          <t>2023-09-14</t>
        </is>
      </c>
      <c r="E25" t="n">
        <v>0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inlineStr">
        <is>
          <t>branch</t>
        </is>
      </c>
      <c r="M25" t="inlineStr">
        <is>
          <t>medical</t>
        </is>
      </c>
      <c r="N25" t="n">
        <v>18800000</v>
      </c>
      <c r="O25" t="n">
        <v>16550000</v>
      </c>
      <c r="P25" t="n">
        <v>106</v>
      </c>
      <c r="Q25" t="n">
        <v>18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O25" t="n">
        <v>1.13595166163142</v>
      </c>
      <c r="AP25" t="n">
        <v>1</v>
      </c>
      <c r="AQ25" t="n">
        <v>2</v>
      </c>
      <c r="AR25" t="n">
        <v>17800000</v>
      </c>
    </row>
    <row r="26">
      <c r="A26" t="n">
        <v>9425</v>
      </c>
      <c r="B26" t="n">
        <v>5393</v>
      </c>
      <c r="C26" t="inlineStr">
        <is>
          <t>2023-08-19</t>
        </is>
      </c>
      <c r="D26" t="inlineStr">
        <is>
          <t>2023-08-23</t>
        </is>
      </c>
      <c r="E26" t="n">
        <v>0</v>
      </c>
      <c r="F26" t="n">
        <v>0</v>
      </c>
      <c r="G26" t="n">
        <v>0</v>
      </c>
      <c r="H26" t="n">
        <v>0</v>
      </c>
      <c r="I26" t="n">
        <v>12</v>
      </c>
      <c r="J26" t="n">
        <v>0</v>
      </c>
      <c r="K26" t="n">
        <v>0</v>
      </c>
      <c r="L26" t="inlineStr">
        <is>
          <t>branch</t>
        </is>
      </c>
      <c r="M26" t="inlineStr">
        <is>
          <t>other</t>
        </is>
      </c>
      <c r="N26" t="n">
        <v>8100000</v>
      </c>
      <c r="O26" t="n">
        <v>7270000</v>
      </c>
      <c r="P26" t="n">
        <v>56</v>
      </c>
      <c r="Q26" t="n">
        <v>9</v>
      </c>
      <c r="R26" t="n">
        <v>605</v>
      </c>
      <c r="S26" t="n">
        <v>11000000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46</v>
      </c>
      <c r="AG26" t="n">
        <v>29858902</v>
      </c>
      <c r="AH26" t="n">
        <v>1617474</v>
      </c>
      <c r="AI26" t="n">
        <v>6830521</v>
      </c>
      <c r="AJ26" t="n">
        <v>21410907</v>
      </c>
      <c r="AK26" t="n">
        <v>7253838</v>
      </c>
      <c r="AL26" t="n">
        <v>6890930</v>
      </c>
      <c r="AM26" t="n">
        <v>1.052664589540164</v>
      </c>
      <c r="AN26" t="n">
        <v>0.0434782608695652</v>
      </c>
      <c r="AO26" t="n">
        <v>1.114167812929849</v>
      </c>
      <c r="AP26" t="n">
        <v>0</v>
      </c>
      <c r="AQ26" t="n">
        <v>0</v>
      </c>
      <c r="AR26" t="n">
        <v>5800000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2026-08-03T20:59:57Z</dcterms:created>
  <dcterms:modified xmlns:dcterms="http://purl.org/dc/terms/" xmlns:xsi="http://www.w3.org/2001/XMLSchema-instance" xsi:type="dcterms:W3CDTF">2026-08-03T20:59:57Z</dcterms:modified>
</cp:coreProperties>
</file>